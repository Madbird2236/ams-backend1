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nfiguração" sheetId="2" state="visible" r:id="rId2"/>
    <sheet xmlns:r="http://schemas.openxmlformats.org/officeDocument/2006/relationships" name="Ob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A1C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  <xf numFmtId="9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9" fontId="0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7C3"/>
        </patternFill>
      </fill>
    </dxf>
    <dxf>
      <fill>
        <patternFill patternType="solid">
          <fgColor rgb="00B7E1CD"/>
        </patternFill>
      </fill>
    </dxf>
    <dxf>
      <fill>
        <patternFill patternType="solid">
          <f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1" customWidth="1" min="9" max="9"/>
    <col width="36" customWidth="1" min="10" max="10"/>
  </cols>
  <sheetData>
    <row r="1">
      <c r="A1" s="1" t="inlineStr">
        <is>
          <t>AMS — Ocupação das próximas 8 semanas</t>
        </is>
      </c>
    </row>
    <row r="2">
      <c r="A2" s="2" t="inlineStr">
        <is>
          <t>Atualizar todas as segundas-feiras na folha «Obras». Horas = horas de trabalho da equipa nessa semana.</t>
        </is>
      </c>
    </row>
    <row r="4" ht="34" customHeight="1">
      <c r="A4" s="3" t="inlineStr">
        <is>
          <t>Semana</t>
        </is>
      </c>
      <c r="B4" s="3" t="inlineStr">
        <is>
          <t>Início</t>
        </is>
      </c>
      <c r="C4" s="3" t="inlineStr">
        <is>
          <t>Ausências
(dias-pessoa)</t>
        </is>
      </c>
      <c r="D4" s="3" t="inlineStr">
        <is>
          <t>Capacidade
(h)</t>
        </is>
      </c>
      <c r="E4" s="3" t="inlineStr">
        <is>
          <t>Confirmado
B2C (h)</t>
        </is>
      </c>
      <c r="F4" s="3" t="inlineStr">
        <is>
          <t>Confirmado
B2B (h)</t>
        </is>
      </c>
      <c r="G4" s="3" t="inlineStr">
        <is>
          <t>Ocupação</t>
        </is>
      </c>
      <c r="H4" s="3" t="inlineStr">
        <is>
          <t>Propostas
abertas (h)</t>
        </is>
      </c>
      <c r="I4" s="3" t="inlineStr">
        <is>
          <t>Horas livres</t>
        </is>
      </c>
      <c r="J4" s="3" t="inlineStr">
        <is>
          <t>Decisão de marketing</t>
        </is>
      </c>
    </row>
    <row r="5">
      <c r="A5" s="4" t="inlineStr">
        <is>
          <t>KW44</t>
        </is>
      </c>
      <c r="B5" s="5" t="n">
        <v>46321</v>
      </c>
      <c r="C5" s="6" t="n">
        <v>0</v>
      </c>
      <c r="D5" s="4">
        <f>Configuração!$B$3*Configuração!$B$4-C5*Configuração!$B$5</f>
        <v/>
      </c>
      <c r="E5" s="4">
        <f>SUMIFS(Obras!E:E,Obras!$C:$C,"B2C",Obras!$D:$D,"Confirmada")</f>
        <v/>
      </c>
      <c r="F5" s="4">
        <f>SUMIFS(Obras!E:E,Obras!$C:$C,"B2B",Obras!$D:$D,"Confirmada")</f>
        <v/>
      </c>
      <c r="G5" s="7">
        <f>IF(D5=0,0,(E5+F5)/D5)</f>
        <v/>
      </c>
      <c r="H5" s="4">
        <f>SUMIFS(Obras!E:E,Obras!$D:$D,"Proposta")</f>
        <v/>
      </c>
      <c r="I5" s="4">
        <f>D5-E5-F5</f>
        <v/>
      </c>
      <c r="J5" s="4">
        <f>IF(G5&lt;Configuração!$B$6,"ACELERAR campanhas residenciais",IF(G5&gt;Configuração!$B$7,"CHEIO — travar B2C, proteger B2B","Manter ritmo"))</f>
        <v/>
      </c>
    </row>
    <row r="6">
      <c r="A6" s="4" t="inlineStr">
        <is>
          <t>KW45</t>
        </is>
      </c>
      <c r="B6" s="5" t="n">
        <v>46328</v>
      </c>
      <c r="C6" s="6" t="n">
        <v>0</v>
      </c>
      <c r="D6" s="4">
        <f>Configuração!$B$3*Configuração!$B$4-C6*Configuração!$B$5</f>
        <v/>
      </c>
      <c r="E6" s="4">
        <f>SUMIFS(Obras!F:F,Obras!$C:$C,"B2C",Obras!$D:$D,"Confirmada")</f>
        <v/>
      </c>
      <c r="F6" s="4">
        <f>SUMIFS(Obras!F:F,Obras!$C:$C,"B2B",Obras!$D:$D,"Confirmada")</f>
        <v/>
      </c>
      <c r="G6" s="7">
        <f>IF(D6=0,0,(E6+F6)/D6)</f>
        <v/>
      </c>
      <c r="H6" s="4">
        <f>SUMIFS(Obras!F:F,Obras!$D:$D,"Proposta")</f>
        <v/>
      </c>
      <c r="I6" s="4">
        <f>D6-E6-F6</f>
        <v/>
      </c>
      <c r="J6" s="4">
        <f>IF(G6&lt;Configuração!$B$6,"ACELERAR campanhas residenciais",IF(G6&gt;Configuração!$B$7,"CHEIO — travar B2C, proteger B2B","Manter ritmo"))</f>
        <v/>
      </c>
    </row>
    <row r="7">
      <c r="A7" s="4" t="inlineStr">
        <is>
          <t>KW46</t>
        </is>
      </c>
      <c r="B7" s="5" t="n">
        <v>46335</v>
      </c>
      <c r="C7" s="6" t="n">
        <v>0</v>
      </c>
      <c r="D7" s="4">
        <f>Configuração!$B$3*Configuração!$B$4-C7*Configuração!$B$5</f>
        <v/>
      </c>
      <c r="E7" s="4">
        <f>SUMIFS(Obras!G:G,Obras!$C:$C,"B2C",Obras!$D:$D,"Confirmada")</f>
        <v/>
      </c>
      <c r="F7" s="4">
        <f>SUMIFS(Obras!G:G,Obras!$C:$C,"B2B",Obras!$D:$D,"Confirmada")</f>
        <v/>
      </c>
      <c r="G7" s="7">
        <f>IF(D7=0,0,(E7+F7)/D7)</f>
        <v/>
      </c>
      <c r="H7" s="4">
        <f>SUMIFS(Obras!G:G,Obras!$D:$D,"Proposta")</f>
        <v/>
      </c>
      <c r="I7" s="4">
        <f>D7-E7-F7</f>
        <v/>
      </c>
      <c r="J7" s="4">
        <f>IF(G7&lt;Configuração!$B$6,"ACELERAR campanhas residenciais",IF(G7&gt;Configuração!$B$7,"CHEIO — travar B2C, proteger B2B","Manter ritmo"))</f>
        <v/>
      </c>
    </row>
    <row r="8">
      <c r="A8" s="4" t="inlineStr">
        <is>
          <t>KW47</t>
        </is>
      </c>
      <c r="B8" s="5" t="n">
        <v>46342</v>
      </c>
      <c r="C8" s="6" t="n">
        <v>0</v>
      </c>
      <c r="D8" s="4">
        <f>Configuração!$B$3*Configuração!$B$4-C8*Configuração!$B$5</f>
        <v/>
      </c>
      <c r="E8" s="4">
        <f>SUMIFS(Obras!H:H,Obras!$C:$C,"B2C",Obras!$D:$D,"Confirmada")</f>
        <v/>
      </c>
      <c r="F8" s="4">
        <f>SUMIFS(Obras!H:H,Obras!$C:$C,"B2B",Obras!$D:$D,"Confirmada")</f>
        <v/>
      </c>
      <c r="G8" s="7">
        <f>IF(D8=0,0,(E8+F8)/D8)</f>
        <v/>
      </c>
      <c r="H8" s="4">
        <f>SUMIFS(Obras!H:H,Obras!$D:$D,"Proposta")</f>
        <v/>
      </c>
      <c r="I8" s="4">
        <f>D8-E8-F8</f>
        <v/>
      </c>
      <c r="J8" s="4">
        <f>IF(G8&lt;Configuração!$B$6,"ACELERAR campanhas residenciais",IF(G8&gt;Configuração!$B$7,"CHEIO — travar B2C, proteger B2B","Manter ritmo"))</f>
        <v/>
      </c>
    </row>
    <row r="9">
      <c r="A9" s="4" t="inlineStr">
        <is>
          <t>KW48</t>
        </is>
      </c>
      <c r="B9" s="5" t="n">
        <v>46349</v>
      </c>
      <c r="C9" s="6" t="n">
        <v>0</v>
      </c>
      <c r="D9" s="4">
        <f>Configuração!$B$3*Configuração!$B$4-C9*Configuração!$B$5</f>
        <v/>
      </c>
      <c r="E9" s="4">
        <f>SUMIFS(Obras!I:I,Obras!$C:$C,"B2C",Obras!$D:$D,"Confirmada")</f>
        <v/>
      </c>
      <c r="F9" s="4">
        <f>SUMIFS(Obras!I:I,Obras!$C:$C,"B2B",Obras!$D:$D,"Confirmada")</f>
        <v/>
      </c>
      <c r="G9" s="7">
        <f>IF(D9=0,0,(E9+F9)/D9)</f>
        <v/>
      </c>
      <c r="H9" s="4">
        <f>SUMIFS(Obras!I:I,Obras!$D:$D,"Proposta")</f>
        <v/>
      </c>
      <c r="I9" s="4">
        <f>D9-E9-F9</f>
        <v/>
      </c>
      <c r="J9" s="4">
        <f>IF(G9&lt;Configuração!$B$6,"ACELERAR campanhas residenciais",IF(G9&gt;Configuração!$B$7,"CHEIO — travar B2C, proteger B2B","Manter ritmo"))</f>
        <v/>
      </c>
    </row>
    <row r="10">
      <c r="A10" s="4" t="inlineStr">
        <is>
          <t>KW49</t>
        </is>
      </c>
      <c r="B10" s="5" t="n">
        <v>46356</v>
      </c>
      <c r="C10" s="6" t="n">
        <v>0</v>
      </c>
      <c r="D10" s="4">
        <f>Configuração!$B$3*Configuração!$B$4-C10*Configuração!$B$5</f>
        <v/>
      </c>
      <c r="E10" s="4">
        <f>SUMIFS(Obras!J:J,Obras!$C:$C,"B2C",Obras!$D:$D,"Confirmada")</f>
        <v/>
      </c>
      <c r="F10" s="4">
        <f>SUMIFS(Obras!J:J,Obras!$C:$C,"B2B",Obras!$D:$D,"Confirmada")</f>
        <v/>
      </c>
      <c r="G10" s="7">
        <f>IF(D10=0,0,(E10+F10)/D10)</f>
        <v/>
      </c>
      <c r="H10" s="4">
        <f>SUMIFS(Obras!J:J,Obras!$D:$D,"Proposta")</f>
        <v/>
      </c>
      <c r="I10" s="4">
        <f>D10-E10-F10</f>
        <v/>
      </c>
      <c r="J10" s="4">
        <f>IF(G10&lt;Configuração!$B$6,"ACELERAR campanhas residenciais",IF(G10&gt;Configuração!$B$7,"CHEIO — travar B2C, proteger B2B","Manter ritmo"))</f>
        <v/>
      </c>
    </row>
    <row r="11">
      <c r="A11" s="4" t="inlineStr">
        <is>
          <t>KW50</t>
        </is>
      </c>
      <c r="B11" s="5" t="n">
        <v>46363</v>
      </c>
      <c r="C11" s="6" t="n">
        <v>0</v>
      </c>
      <c r="D11" s="4">
        <f>Configuração!$B$3*Configuração!$B$4-C11*Configuração!$B$5</f>
        <v/>
      </c>
      <c r="E11" s="4">
        <f>SUMIFS(Obras!K:K,Obras!$C:$C,"B2C",Obras!$D:$D,"Confirmada")</f>
        <v/>
      </c>
      <c r="F11" s="4">
        <f>SUMIFS(Obras!K:K,Obras!$C:$C,"B2B",Obras!$D:$D,"Confirmada")</f>
        <v/>
      </c>
      <c r="G11" s="7">
        <f>IF(D11=0,0,(E11+F11)/D11)</f>
        <v/>
      </c>
      <c r="H11" s="4">
        <f>SUMIFS(Obras!K:K,Obras!$D:$D,"Proposta")</f>
        <v/>
      </c>
      <c r="I11" s="4">
        <f>D11-E11-F11</f>
        <v/>
      </c>
      <c r="J11" s="4">
        <f>IF(G11&lt;Configuração!$B$6,"ACELERAR campanhas residenciais",IF(G11&gt;Configuração!$B$7,"CHEIO — travar B2C, proteger B2B","Manter ritmo"))</f>
        <v/>
      </c>
    </row>
    <row r="12">
      <c r="A12" s="4" t="inlineStr">
        <is>
          <t>KW51</t>
        </is>
      </c>
      <c r="B12" s="5" t="n">
        <v>46370</v>
      </c>
      <c r="C12" s="6" t="n">
        <v>0</v>
      </c>
      <c r="D12" s="4">
        <f>Configuração!$B$3*Configuração!$B$4-C12*Configuração!$B$5</f>
        <v/>
      </c>
      <c r="E12" s="4">
        <f>SUMIFS(Obras!L:L,Obras!$C:$C,"B2C",Obras!$D:$D,"Confirmada")</f>
        <v/>
      </c>
      <c r="F12" s="4">
        <f>SUMIFS(Obras!L:L,Obras!$C:$C,"B2B",Obras!$D:$D,"Confirmada")</f>
        <v/>
      </c>
      <c r="G12" s="7">
        <f>IF(D12=0,0,(E12+F12)/D12)</f>
        <v/>
      </c>
      <c r="H12" s="4">
        <f>SUMIFS(Obras!L:L,Obras!$D:$D,"Proposta")</f>
        <v/>
      </c>
      <c r="I12" s="4">
        <f>D12-E12-F12</f>
        <v/>
      </c>
      <c r="J12" s="4">
        <f>IF(G12&lt;Configuração!$B$6,"ACELERAR campanhas residenciais",IF(G12&gt;Configuração!$B$7,"CHEIO — travar B2C, proteger B2B","Manter ritmo"))</f>
        <v/>
      </c>
    </row>
    <row r="14">
      <c r="A14" s="8" t="inlineStr">
        <is>
          <t>Média 8 semanas</t>
        </is>
      </c>
      <c r="G14" s="9">
        <f>AVERAGE(G5:G12)</f>
        <v/>
      </c>
      <c r="J14" s="8">
        <f>IF(G14&lt;Configuração!$B$6,"ACELERAR campanhas residenciais",IF(G14&gt;Configuração!$B$7,"CHEIO — travar B2C, proteger B2B","Manter ritmo"))</f>
        <v/>
      </c>
    </row>
    <row r="15">
      <c r="A15" s="8" t="inlineStr">
        <is>
          <t>Próximas 4 semanas</t>
        </is>
      </c>
      <c r="G15" s="10">
        <f>AVERAGE(G5:G8)</f>
        <v/>
      </c>
      <c r="J15">
        <f>IF(G15&lt;Configuração!$B$6,"Lançar campanha de captação imediata ESTA semana","OK")</f>
        <v/>
      </c>
    </row>
    <row r="17" ht="30" customHeight="1">
      <c r="A17" s="11" t="inlineStr">
        <is>
          <t>Regra: vermelho = agenda com espaço → subir campanhas residenciais (inverno: interiores, entregas de apartamento). Verde = cheio → abrandar B2C e guardar capacidade para B2B. Sem quota fixa.</t>
        </is>
      </c>
    </row>
    <row r="18"/>
  </sheetData>
  <mergeCells count="1">
    <mergeCell ref="A17:J18"/>
  </mergeCells>
  <conditionalFormatting sqref="G5:G12">
    <cfRule type="expression" priority="1" dxfId="0">
      <formula>G5&lt;Configuração!$B$6</formula>
    </cfRule>
    <cfRule type="expression" priority="2" dxfId="1">
      <formula>G5&gt;Configuração!$B$7</formula>
    </cfRule>
    <cfRule type="expression" priority="3" dxfId="2">
      <formula>AND(G5&gt;=Configuração!$B$6,G5&lt;=Configuração!$B$7)</formula>
    </cfRule>
  </conditionalFormatting>
  <conditionalFormatting sqref="G14:G15">
    <cfRule type="expression" priority="4" dxfId="0">
      <formula>G14&lt;Configuração!$B$6</formula>
    </cfRule>
    <cfRule type="expression" priority="5" dxfId="1">
      <formula>G14&gt;Configuração!$B$7</formula>
    </cfRule>
    <cfRule type="expression" priority="6" dxfId="2">
      <formula>AND(G14&gt;=Configuração!$B$6,G14&lt;=Configuração!$B$7)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Configuração da equipa</t>
        </is>
      </c>
    </row>
    <row r="3">
      <c r="A3" t="inlineStr">
        <is>
          <t>Pessoas na equipa (produtivas)</t>
        </is>
      </c>
      <c r="B3" s="6" t="n">
        <v>6</v>
      </c>
    </row>
    <row r="4">
      <c r="A4" t="inlineStr">
        <is>
          <t>Horas por pessoa por semana</t>
        </is>
      </c>
      <c r="B4" s="6" t="n">
        <v>42.5</v>
      </c>
    </row>
    <row r="5">
      <c r="A5" t="inlineStr">
        <is>
          <t>Horas por dia</t>
        </is>
      </c>
      <c r="B5" s="6" t="n">
        <v>8.5</v>
      </c>
    </row>
    <row r="6">
      <c r="A6" t="inlineStr">
        <is>
          <t>Abaixo deste valor: ACELERAR campanhas residenciais</t>
        </is>
      </c>
      <c r="B6" s="12" t="n">
        <v>0.6</v>
      </c>
    </row>
    <row r="7">
      <c r="A7" t="inlineStr">
        <is>
          <t>Acima deste valor: agenda CHEIA</t>
        </is>
      </c>
      <c r="B7" s="12" t="n">
        <v>0.85</v>
      </c>
    </row>
    <row r="9">
      <c r="A9" s="2" t="inlineStr">
        <is>
          <t>Células amarelas = preencher. O resto calcula sozinho.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2" customHeight="1">
      <c r="A1" s="3" t="inlineStr">
        <is>
          <t>Obra</t>
        </is>
      </c>
      <c r="B1" s="3" t="inlineStr">
        <is>
          <t>Cliente</t>
        </is>
      </c>
      <c r="C1" s="3" t="inlineStr">
        <is>
          <t>Tipo</t>
        </is>
      </c>
      <c r="D1" s="3" t="inlineStr">
        <is>
          <t>Estado</t>
        </is>
      </c>
      <c r="E1" s="3" t="inlineStr">
        <is>
          <t>KW44
26.10</t>
        </is>
      </c>
      <c r="F1" s="3" t="inlineStr">
        <is>
          <t>KW45
02.11</t>
        </is>
      </c>
      <c r="G1" s="3" t="inlineStr">
        <is>
          <t>KW46
09.11</t>
        </is>
      </c>
      <c r="H1" s="3" t="inlineStr">
        <is>
          <t>KW47
16.11</t>
        </is>
      </c>
      <c r="I1" s="3" t="inlineStr">
        <is>
          <t>KW48
23.11</t>
        </is>
      </c>
      <c r="J1" s="3" t="inlineStr">
        <is>
          <t>KW49
30.11</t>
        </is>
      </c>
      <c r="K1" s="3" t="inlineStr">
        <is>
          <t>KW50
07.12</t>
        </is>
      </c>
      <c r="L1" s="3" t="inlineStr">
        <is>
          <t>KW51
14.12</t>
        </is>
      </c>
      <c r="M1" s="3" t="inlineStr">
        <is>
          <t>Total h</t>
        </is>
      </c>
    </row>
    <row r="2">
      <c r="A2" s="6" t="inlineStr">
        <is>
          <t>EXEMPLO Pintura apartamento</t>
        </is>
      </c>
      <c r="B2" s="6" t="inlineStr">
        <is>
          <t>Família Müller</t>
        </is>
      </c>
      <c r="C2" s="6" t="inlineStr">
        <is>
          <t>B2C</t>
        </is>
      </c>
      <c r="D2" s="6" t="inlineStr">
        <is>
          <t>Confirmada</t>
        </is>
      </c>
      <c r="E2" s="6" t="n">
        <v>34</v>
      </c>
      <c r="F2" s="6" t="n">
        <v>34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4">
        <f>IF(COUNTA(A2)=0,"",SUM(E2:L2))</f>
        <v/>
      </c>
    </row>
    <row r="3">
      <c r="A3" s="6" t="inlineStr">
        <is>
          <t>EXEMPLO Entrega apartamento</t>
        </is>
      </c>
      <c r="B3" s="6" t="inlineStr">
        <is>
          <t>Verwaltung XY</t>
        </is>
      </c>
      <c r="C3" s="6" t="inlineStr">
        <is>
          <t>B2C</t>
        </is>
      </c>
      <c r="D3" s="6" t="inlineStr">
        <is>
          <t>Confirmada</t>
        </is>
      </c>
      <c r="E3" s="6" t="n">
        <v>0</v>
      </c>
      <c r="F3" s="6" t="n">
        <v>17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4">
        <f>IF(COUNTA(A3)=0,"",SUM(E3:L3))</f>
        <v/>
      </c>
    </row>
    <row r="4">
      <c r="A4" s="6" t="inlineStr">
        <is>
          <t>EXEMPLO Loja Zürich</t>
        </is>
      </c>
      <c r="B4" s="6" t="inlineStr">
        <is>
          <t>Marca retalho</t>
        </is>
      </c>
      <c r="C4" s="6" t="inlineStr">
        <is>
          <t>B2B</t>
        </is>
      </c>
      <c r="D4" s="6" t="inlineStr">
        <is>
          <t>Confirmada</t>
        </is>
      </c>
      <c r="E4" s="6" t="n">
        <v>85</v>
      </c>
      <c r="F4" s="6" t="n">
        <v>85</v>
      </c>
      <c r="G4" s="6" t="n">
        <v>85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4">
        <f>IF(COUNTA(A4)=0,"",SUM(E4:L4))</f>
        <v/>
      </c>
    </row>
    <row r="5">
      <c r="A5" s="6" t="inlineStr">
        <is>
          <t>EXEMPLO Escritórios</t>
        </is>
      </c>
      <c r="B5" s="6" t="inlineStr">
        <is>
          <t>Arquiteto Z</t>
        </is>
      </c>
      <c r="C5" s="6" t="inlineStr">
        <is>
          <t>B2B</t>
        </is>
      </c>
      <c r="D5" s="6" t="inlineStr">
        <is>
          <t>Proposta</t>
        </is>
      </c>
      <c r="E5" s="6" t="n">
        <v>0</v>
      </c>
      <c r="F5" s="6" t="n">
        <v>0</v>
      </c>
      <c r="G5" s="6" t="n">
        <v>0</v>
      </c>
      <c r="H5" s="6" t="n">
        <v>120</v>
      </c>
      <c r="I5" s="6" t="n">
        <v>120</v>
      </c>
      <c r="J5" s="6" t="n">
        <v>0</v>
      </c>
      <c r="K5" s="6" t="n">
        <v>0</v>
      </c>
      <c r="L5" s="6" t="n">
        <v>0</v>
      </c>
      <c r="M5" s="4">
        <f>IF(COUNTA(A5)=0,"",SUM(E5:L5))</f>
        <v/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4">
        <f>IF(COUNTA(A6)=0,"",SUM(E6:L6))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4">
        <f>IF(COUNTA(A7)=0,"",SUM(E7:L7))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4">
        <f>IF(COUNTA(A8)=0,"",SUM(E8:L8))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4">
        <f>IF(COUNTA(A9)=0,"",SUM(E9:L9))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4">
        <f>IF(COUNTA(A10)=0,"",SUM(E10:L10))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4">
        <f>IF(COUNTA(A11)=0,"",SUM(E11:L11))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4">
        <f>IF(COUNTA(A12)=0,"",SUM(E12:L12))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4">
        <f>IF(COUNTA(A13)=0,"",SUM(E13:L13))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4">
        <f>IF(COUNTA(A14)=0,"",SUM(E14:L14))</f>
        <v/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4">
        <f>IF(COUNTA(A15)=0,"",SUM(E15:L15))</f>
        <v/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4">
        <f>IF(COUNTA(A16)=0,"",SUM(E16:L16))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4">
        <f>IF(COUNTA(A17)=0,"",SUM(E17:L17))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4">
        <f>IF(COUNTA(A18)=0,"",SUM(E18:L18))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4">
        <f>IF(COUNTA(A19)=0,"",SUM(E19:L19))</f>
        <v/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4">
        <f>IF(COUNTA(A20)=0,"",SUM(E20:L20))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4">
        <f>IF(COUNTA(A21)=0,"",SUM(E21:L21))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4">
        <f>IF(COUNTA(A22)=0,"",SUM(E22:L22))</f>
        <v/>
      </c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4">
        <f>IF(COUNTA(A23)=0,"",SUM(E23:L23))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4">
        <f>IF(COUNTA(A24)=0,"",SUM(E24:L24))</f>
        <v/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4">
        <f>IF(COUNTA(A25)=0,"",SUM(E25:L25))</f>
        <v/>
      </c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4">
        <f>IF(COUNTA(A26)=0,"",SUM(E26:L26))</f>
        <v/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4">
        <f>IF(COUNTA(A27)=0,"",SUM(E27:L27))</f>
        <v/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4">
        <f>IF(COUNTA(A28)=0,"",SUM(E28:L28))</f>
        <v/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4">
        <f>IF(COUNTA(A29)=0,"",SUM(E29:L29))</f>
        <v/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4">
        <f>IF(COUNTA(A30)=0,"",SUM(E30:L30))</f>
        <v/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4">
        <f>IF(COUNTA(A31)=0,"",SUM(E31:L31))</f>
        <v/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4">
        <f>IF(COUNTA(A32)=0,"",SUM(E32:L32))</f>
        <v/>
      </c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4">
        <f>IF(COUNTA(A33)=0,"",SUM(E33:L33))</f>
        <v/>
      </c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4">
        <f>IF(COUNTA(A34)=0,"",SUM(E34:L34))</f>
        <v/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4">
        <f>IF(COUNTA(A35)=0,"",SUM(E35:L35))</f>
        <v/>
      </c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4">
        <f>IF(COUNTA(A36)=0,"",SUM(E36:L36))</f>
        <v/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4">
        <f>IF(COUNTA(A37)=0,"",SUM(E37:L37))</f>
        <v/>
      </c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4">
        <f>IF(COUNTA(A38)=0,"",SUM(E38:L38))</f>
        <v/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4">
        <f>IF(COUNTA(A39)=0,"",SUM(E39:L39))</f>
        <v/>
      </c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4">
        <f>IF(COUNTA(A40)=0,"",SUM(E40:L40))</f>
        <v/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4">
        <f>IF(COUNTA(A41)=0,"",SUM(E41:L41))</f>
        <v/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4">
        <f>IF(COUNTA(A42)=0,"",SUM(E42:L42))</f>
        <v/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4">
        <f>IF(COUNTA(A43)=0,"",SUM(E43:L43))</f>
        <v/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4">
        <f>IF(COUNTA(A44)=0,"",SUM(E44:L44))</f>
        <v/>
      </c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4">
        <f>IF(COUNTA(A45)=0,"",SUM(E45:L45))</f>
        <v/>
      </c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4">
        <f>IF(COUNTA(A46)=0,"",SUM(E46:L46))</f>
        <v/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4">
        <f>IF(COUNTA(A47)=0,"",SUM(E47:L47))</f>
        <v/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4">
        <f>IF(COUNTA(A48)=0,"",SUM(E48:L48))</f>
        <v/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4">
        <f>IF(COUNTA(A49)=0,"",SUM(E49:L49))</f>
        <v/>
      </c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4">
        <f>IF(COUNTA(A50)=0,"",SUM(E50:L50))</f>
        <v/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4">
        <f>IF(COUNTA(A51)=0,"",SUM(E51:L51))</f>
        <v/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4">
        <f>IF(COUNTA(A52)=0,"",SUM(E52:L52))</f>
        <v/>
      </c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4">
        <f>IF(COUNTA(A53)=0,"",SUM(E53:L53))</f>
        <v/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4">
        <f>IF(COUNTA(A54)=0,"",SUM(E54:L54))</f>
        <v/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4">
        <f>IF(COUNTA(A55)=0,"",SUM(E55:L55))</f>
        <v/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4">
        <f>IF(COUNTA(A56)=0,"",SUM(E56:L56))</f>
        <v/>
      </c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4">
        <f>IF(COUNTA(A57)=0,"",SUM(E57:L57))</f>
        <v/>
      </c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4">
        <f>IF(COUNTA(A58)=0,"",SUM(E58:L58))</f>
        <v/>
      </c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4">
        <f>IF(COUNTA(A59)=0,"",SUM(E59:L59))</f>
        <v/>
      </c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4">
        <f>IF(COUNTA(A60)=0,"",SUM(E60:L60))</f>
        <v/>
      </c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4">
        <f>IF(COUNTA(A61)=0,"",SUM(E61:L61))</f>
        <v/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4">
        <f>IF(COUNTA(A62)=0,"",SUM(E62:L62))</f>
        <v/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4">
        <f>IF(COUNTA(A63)=0,"",SUM(E63:L63))</f>
        <v/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4">
        <f>IF(COUNTA(A64)=0,"",SUM(E64:L64))</f>
        <v/>
      </c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4">
        <f>IF(COUNTA(A65)=0,"",SUM(E65:L65))</f>
        <v/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4">
        <f>IF(COUNTA(A66)=0,"",SUM(E66:L66))</f>
        <v/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4">
        <f>IF(COUNTA(A67)=0,"",SUM(E67:L67))</f>
        <v/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4">
        <f>IF(COUNTA(A68)=0,"",SUM(E68:L68))</f>
        <v/>
      </c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4">
        <f>IF(COUNTA(A69)=0,"",SUM(E69:L69))</f>
        <v/>
      </c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4">
        <f>IF(COUNTA(A70)=0,"",SUM(E70:L70))</f>
        <v/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4">
        <f>IF(COUNTA(A71)=0,"",SUM(E71:L71))</f>
        <v/>
      </c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4">
        <f>IF(COUNTA(A72)=0,"",SUM(E72:L72))</f>
        <v/>
      </c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4">
        <f>IF(COUNTA(A73)=0,"",SUM(E73:L73))</f>
        <v/>
      </c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4">
        <f>IF(COUNTA(A74)=0,"",SUM(E74:L74))</f>
        <v/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4">
        <f>IF(COUNTA(A75)=0,"",SUM(E75:L75))</f>
        <v/>
      </c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4">
        <f>IF(COUNTA(A76)=0,"",SUM(E76:L76))</f>
        <v/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4">
        <f>IF(COUNTA(A77)=0,"",SUM(E77:L77))</f>
        <v/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4">
        <f>IF(COUNTA(A78)=0,"",SUM(E78:L78))</f>
        <v/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4">
        <f>IF(COUNTA(A79)=0,"",SUM(E79:L79))</f>
        <v/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4">
        <f>IF(COUNTA(A80)=0,"",SUM(E80:L80))</f>
        <v/>
      </c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4">
        <f>IF(COUNTA(A81)=0,"",SUM(E81:L81))</f>
        <v/>
      </c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4">
        <f>IF(COUNTA(A82)=0,"",SUM(E82:L82))</f>
        <v/>
      </c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4">
        <f>IF(COUNTA(A83)=0,"",SUM(E83:L83))</f>
        <v/>
      </c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4">
        <f>IF(COUNTA(A84)=0,"",SUM(E84:L84))</f>
        <v/>
      </c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4">
        <f>IF(COUNTA(A85)=0,"",SUM(E85:L85))</f>
        <v/>
      </c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4">
        <f>IF(COUNTA(A86)=0,"",SUM(E86:L86))</f>
        <v/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4">
        <f>IF(COUNTA(A87)=0,"",SUM(E87:L87))</f>
        <v/>
      </c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4">
        <f>IF(COUNTA(A88)=0,"",SUM(E88:L88))</f>
        <v/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4">
        <f>IF(COUNTA(A89)=0,"",SUM(E89:L89))</f>
        <v/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4">
        <f>IF(COUNTA(A90)=0,"",SUM(E90:L90))</f>
        <v/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4">
        <f>IF(COUNTA(A91)=0,"",SUM(E91:L91))</f>
        <v/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4">
        <f>IF(COUNTA(A92)=0,"",SUM(E92:L92))</f>
        <v/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4">
        <f>IF(COUNTA(A93)=0,"",SUM(E93:L93))</f>
        <v/>
      </c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4">
        <f>IF(COUNTA(A94)=0,"",SUM(E94:L94))</f>
        <v/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4">
        <f>IF(COUNTA(A95)=0,"",SUM(E95:L95))</f>
        <v/>
      </c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4">
        <f>IF(COUNTA(A96)=0,"",SUM(E96:L96))</f>
        <v/>
      </c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4">
        <f>IF(COUNTA(A97)=0,"",SUM(E97:L97))</f>
        <v/>
      </c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4">
        <f>IF(COUNTA(A98)=0,"",SUM(E98:L98))</f>
        <v/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4">
        <f>IF(COUNTA(A99)=0,"",SUM(E99:L99))</f>
        <v/>
      </c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4">
        <f>IF(COUNTA(A100)=0,"",SUM(E100:L100))</f>
        <v/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4">
        <f>IF(COUNTA(A101)=0,"",SUM(E101:L101))</f>
        <v/>
      </c>
    </row>
  </sheetData>
  <dataValidations count="2">
    <dataValidation sqref="C2:C101" showDropDown="0" showInputMessage="0" showErrorMessage="0" allowBlank="1" type="list">
      <formula1>"B2C,B2B"</formula1>
    </dataValidation>
    <dataValidation sqref="D2:D101" showDropDown="0" showInputMessage="0" showErrorMessage="0" allowBlank="1" type="list">
      <formula1>"Confirmada,Proposta"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2026-10-21T21:45:49Z</dcterms:created>
  <dcterms:modified xmlns:dcterms="http://purl.org/dc/terms/" xmlns:xsi="http://www.w3.org/2001/XMLSchema-instance" xsi:type="dcterms:W3CDTF">2026-10-21T21:45:49Z</dcterms:modified>
</cp:coreProperties>
</file>